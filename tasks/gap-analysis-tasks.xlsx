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ster" sheetId="2" state="visible" r:id="rId2"/>
    <sheet name="Execution Order" sheetId="3" state="visible" r:id="rId3"/>
    <sheet name="Conventions" sheetId="4" state="visible" r:id="rId4"/>
  </sheets>
  <definedNames>
    <definedName name="_xlnm._FilterDatabase" localSheetId="1" hidden="1">'Master'!$A$1:$K$21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475569"/>
      <sz val="10"/>
    </font>
    <font>
      <b val="1"/>
      <color rgb="00FFFFFF"/>
      <sz val="11"/>
    </font>
    <font>
      <b val="1"/>
      <color rgb="00991B1B"/>
      <sz val="11"/>
    </font>
    <font>
      <b val="1"/>
      <color rgb="0092400E"/>
      <sz val="11"/>
    </font>
    <font>
      <b val="1"/>
      <color rgb="00475569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b val="1"/>
        <color rgb="00991B1B"/>
        <sz val="11"/>
      </font>
      <fill>
        <patternFill patternType="solid">
          <fgColor rgb="00FEE2E2"/>
        </patternFill>
      </fill>
    </dxf>
    <dxf>
      <font>
        <b val="1"/>
        <color rgb="0092400E"/>
        <sz val="11"/>
      </font>
      <fill>
        <patternFill patternType="solid">
          <fgColor rgb="00FEF3C7"/>
        </patternFill>
      </fill>
    </dxf>
    <dxf>
      <font>
        <b val="1"/>
        <color rgb="00475569"/>
        <sz val="11"/>
      </font>
      <fill>
        <patternFill patternType="solid">
          <fgColor rgb="00F1F5F9"/>
        </patternFill>
      </fill>
    </dxf>
    <dxf>
      <fill>
        <patternFill patternType="solid">
          <fgColor rgb="00F8FAFC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EDE9FE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Gap Analysis Tasks — Nexus Platform</t>
        </is>
      </c>
    </row>
    <row r="2">
      <c r="A2" s="2" t="inlineStr">
        <is>
          <t>Nguồn: docs/research/mandatory-features-gap-analysis-2026-08-24.md (đã review bởi code-reviewer agent, mọi claim xác minh bằng source)</t>
        </is>
      </c>
    </row>
    <row r="3">
      <c r="A3" s="2" t="inlineStr">
        <is>
          <t>Import: 2026-08-24 · 20 task (P0 × 4, P1 × 9, P2 × 7) · Nguồn sự thật là sheet Master</t>
        </is>
      </c>
    </row>
    <row r="5">
      <c r="A5" s="3" t="inlineStr">
        <is>
          <t>Nhóm</t>
        </is>
      </c>
      <c r="B5" s="3" t="inlineStr">
        <is>
          <t>Tổng</t>
        </is>
      </c>
      <c r="C5" s="3" t="inlineStr">
        <is>
          <t>Todo</t>
        </is>
      </c>
      <c r="D5" s="3" t="inlineStr">
        <is>
          <t>In Progress</t>
        </is>
      </c>
      <c r="E5" s="3" t="inlineStr">
        <is>
          <t>Review</t>
        </is>
      </c>
      <c r="F5" s="3" t="inlineStr">
        <is>
          <t>Done</t>
        </is>
      </c>
      <c r="G5" s="3" t="inlineStr">
        <is>
          <t>Blocked</t>
        </is>
      </c>
    </row>
    <row r="6">
      <c r="A6" s="4" t="inlineStr">
        <is>
          <t>P0</t>
        </is>
      </c>
      <c r="B6" s="5">
        <f>COUNTIF(Master!$D:$D,$A6)</f>
        <v>4</v>
      </c>
      <c r="C6" s="5">
        <f>COUNTIFS(Master!$D:$D,$A6,Master!$F:$F,"Todo")</f>
        <v>3</v>
      </c>
      <c r="D6" s="5">
        <f>COUNTIFS(Master!$D:$D,$A6,Master!$F:$F,"In Progress")</f>
        <v>0</v>
      </c>
      <c r="E6" s="5">
        <f>COUNTIFS(Master!$D:$D,$A6,Master!$F:$F,"Review")</f>
        <v>0</v>
      </c>
      <c r="F6" s="5">
        <f>COUNTIFS(Master!$D:$D,$A6,Master!$F:$F,"Done")</f>
        <v>1</v>
      </c>
      <c r="G6" s="5">
        <f>COUNTIFS(Master!$D:$D,$A6,Master!$F:$F,"Blocked")</f>
        <v>0</v>
      </c>
    </row>
    <row r="7">
      <c r="A7" s="6" t="inlineStr">
        <is>
          <t>P1</t>
        </is>
      </c>
      <c r="B7" s="5">
        <f>COUNTIF(Master!$D:$D,$A7)</f>
        <v>9</v>
      </c>
      <c r="C7" s="5">
        <f>COUNTIFS(Master!$D:$D,$A7,Master!$F:$F,"Todo")</f>
        <v>8</v>
      </c>
      <c r="D7" s="5">
        <f>COUNTIFS(Master!$D:$D,$A7,Master!$F:$F,"In Progress")</f>
        <v>0</v>
      </c>
      <c r="E7" s="5">
        <f>COUNTIFS(Master!$D:$D,$A7,Master!$F:$F,"Review")</f>
        <v>0</v>
      </c>
      <c r="F7" s="5">
        <f>COUNTIFS(Master!$D:$D,$A7,Master!$F:$F,"Done")</f>
        <v>1</v>
      </c>
      <c r="G7" s="5">
        <f>COUNTIFS(Master!$D:$D,$A7,Master!$F:$F,"Blocked")</f>
        <v>0</v>
      </c>
    </row>
    <row r="8">
      <c r="A8" s="7" t="inlineStr">
        <is>
          <t>P2</t>
        </is>
      </c>
      <c r="B8" s="5">
        <f>COUNTIF(Master!$D:$D,$A8)</f>
        <v>7</v>
      </c>
      <c r="C8" s="5">
        <f>COUNTIFS(Master!$D:$D,$A8,Master!$F:$F,"Todo")</f>
        <v>6</v>
      </c>
      <c r="D8" s="5">
        <f>COUNTIFS(Master!$D:$D,$A8,Master!$F:$F,"In Progress")</f>
        <v>1</v>
      </c>
      <c r="E8" s="5">
        <f>COUNTIFS(Master!$D:$D,$A8,Master!$F:$F,"Review")</f>
        <v>0</v>
      </c>
      <c r="F8" s="5">
        <f>COUNTIFS(Master!$D:$D,$A8,Master!$F:$F,"Done")</f>
        <v>0</v>
      </c>
      <c r="G8" s="5">
        <f>COUNTIFS(Master!$D:$D,$A8,Master!$F:$F,"Blocked")</f>
        <v>0</v>
      </c>
    </row>
    <row r="9">
      <c r="A9" s="8" t="inlineStr">
        <is>
          <t>Tổng</t>
        </is>
      </c>
      <c r="B9" s="9">
        <f>SUM(B6:B8)</f>
        <v>20</v>
      </c>
      <c r="C9" s="9">
        <f>SUM(C6:C8)</f>
        <v>17</v>
      </c>
      <c r="D9" s="9">
        <f>SUM(D6:D8)</f>
        <v>1</v>
      </c>
      <c r="E9" s="9">
        <f>SUM(E6:E8)</f>
        <v>0</v>
      </c>
      <c r="F9" s="9">
        <f>SUM(F6:F8)</f>
        <v>2</v>
      </c>
      <c r="G9" s="9">
        <f>SUM(G6:G8)</f>
        <v>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46" customWidth="1" min="3" max="3"/>
    <col width="10" customWidth="1" min="4" max="4"/>
    <col width="13" customWidth="1" min="5" max="5"/>
    <col width="13" customWidth="1" min="6" max="6"/>
    <col width="12" customWidth="1" min="7" max="7"/>
    <col width="14" customWidth="1" min="8" max="8"/>
    <col width="46" customWidth="1" min="9" max="9"/>
    <col width="46" customWidth="1" min="10" max="10"/>
    <col width="34" customWidth="1" min="11" max="11"/>
  </cols>
  <sheetData>
    <row r="1">
      <c r="A1" s="3" t="inlineStr">
        <is>
          <t>ID</t>
        </is>
      </c>
      <c r="B1" s="3" t="inlineStr">
        <is>
          <t>Tên task</t>
        </is>
      </c>
      <c r="C1" s="3" t="inlineStr">
        <is>
          <t>Mô tả vấn đề</t>
        </is>
      </c>
      <c r="D1" s="3" t="inlineStr">
        <is>
          <t>Priority</t>
        </is>
      </c>
      <c r="E1" s="3" t="inlineStr">
        <is>
          <t>Category</t>
        </is>
      </c>
      <c r="F1" s="3" t="inlineStr">
        <is>
          <t>Status</t>
        </is>
      </c>
      <c r="G1" s="3" t="inlineStr">
        <is>
          <t>Assignee</t>
        </is>
      </c>
      <c r="H1" s="3" t="inlineStr">
        <is>
          <t>Hạn dự kiến</t>
        </is>
      </c>
      <c r="I1" s="3" t="inlineStr">
        <is>
          <t>Evidence / Tham chiếu</t>
        </is>
      </c>
      <c r="J1" s="3" t="inlineStr">
        <is>
          <t>Acceptance / Phạm vi</t>
        </is>
      </c>
      <c r="K1" s="3" t="inlineStr">
        <is>
          <t>Ghi chú</t>
        </is>
      </c>
    </row>
    <row r="2" ht="75.5" customHeight="1">
      <c r="A2" s="10" t="inlineStr">
        <is>
          <t>GA-01</t>
        </is>
      </c>
      <c r="B2" s="11" t="inlineStr">
        <is>
          <t>Fix luồng quên mật khẩu (chuyển sang emailOTP flow + tạo trang reset)</t>
        </is>
      </c>
      <c r="C2" s="11" t="inlineStr">
        <is>
          <t>Người dùng quên mật khẩu hiện không thể tự lấy lại tài khoản: UI gọi sendResetPassword nhưng server không có endpoint đó (RESET_PASSWORD_DISABLED), buộc phải nhờ supporter xử lý thủ công.</t>
        </is>
      </c>
      <c r="D2" s="12" t="inlineStr">
        <is>
          <t>P0</t>
        </is>
      </c>
      <c r="E2" s="13" t="inlineStr">
        <is>
          <t>Account</t>
        </is>
      </c>
      <c r="F2" s="13" t="inlineStr">
        <is>
          <t>Done</t>
        </is>
      </c>
      <c r="G2" s="13" t="inlineStr"/>
      <c r="H2" s="13" t="inlineStr"/>
      <c r="I2" s="11" t="inlineStr">
        <is>
          <t>`auth.ts:117-121` (thiếu sendResetPassword → RESET_PASSWORD_DISABLED); `forgot-password/page.tsx:35-38`; `password.mjs:42-46`</t>
        </is>
      </c>
      <c r="J2" s="11" t="inlineStr">
        <is>
          <t>UI gọi `emailOtp.requestPasswordReset` + trang nhập OTP + mật khẩu mới; không đụng DB</t>
        </is>
      </c>
      <c r="K2" s="11" t="inlineStr">
        <is>
          <t>Server đã có sẵn OTP reset flow (`auth.ts:30-35`)</t>
        </is>
      </c>
    </row>
    <row r="3" ht="75.5" customHeight="1">
      <c r="A3" s="10" t="inlineStr">
        <is>
          <t>GA-02</t>
        </is>
      </c>
      <c r="B3" s="11" t="inlineStr">
        <is>
          <t>Xác minh code + chốt intake flow (case kẹt `intake_ready` khi thanh toán trước khi nộp)</t>
        </is>
      </c>
      <c r="C3" s="11" t="inlineStr">
        <is>
          <t>Case thanh toán trước khi nộp hồ sơ có thể kẹt vĩnh viễn ở trạng thái intake_ready thay vì chuyển submitted — người dùng đã trả tiền nhưng hồ sơ không tiến triển; flow intake còn 5 câu hỏi mở (Q1–Q5) chưa chốt.</t>
        </is>
      </c>
      <c r="D3" s="12" t="inlineStr">
        <is>
          <t>P0</t>
        </is>
      </c>
      <c r="E3" s="13" t="inlineStr">
        <is>
          <t>UX</t>
        </is>
      </c>
      <c r="F3" s="13" t="inlineStr">
        <is>
          <t>Todo</t>
        </is>
      </c>
      <c r="G3" s="13" t="inlineStr"/>
      <c r="H3" s="13" t="inlineStr"/>
      <c r="I3" s="11" t="inlineStr">
        <is>
          <t>`docs/flows/intake-flow.md` ⚠; `docs/research/brainstorm-2026-08-21-flow-confusion-intake-payment-credit.md`</t>
        </is>
      </c>
      <c r="J3" s="11" t="inlineStr">
        <is>
          <t>Verify `intake_ready` trong `case-transition.service.ts` → chốt Q1–Q5 → case đã trả tiền phải lên được `submitted`</t>
        </is>
      </c>
      <c r="K3" s="11" t="inlineStr">
        <is>
          <t>Cần quyết định Q1–Q5; PR #19 chưa merge; bằng chứng ở tầng tài liệu — phải xác minh code trước</t>
        </is>
      </c>
    </row>
    <row r="4" ht="46.5" customHeight="1">
      <c r="A4" s="10" t="inlineStr">
        <is>
          <t>GA-03</t>
        </is>
      </c>
      <c r="B4" s="11" t="inlineStr">
        <is>
          <t>Rate limit + lockout đăng nhập</t>
        </is>
      </c>
      <c r="C4" s="11" t="inlineStr">
        <is>
          <t>Không có rate limit cho sign-in (chỉ có cho OTP) và không có lockout theo tài khoản — mật khẩu có thể bị brute-force.</t>
        </is>
      </c>
      <c r="D4" s="12" t="inlineStr">
        <is>
          <t>P0</t>
        </is>
      </c>
      <c r="E4" s="13" t="inlineStr">
        <is>
          <t>Security</t>
        </is>
      </c>
      <c r="F4" s="13" t="inlineStr">
        <is>
          <t>Todo</t>
        </is>
      </c>
      <c r="G4" s="13" t="inlineStr"/>
      <c r="H4" s="13" t="inlineStr"/>
      <c r="I4" s="11" t="inlineStr">
        <is>
          <t>`index.ts` (không có rate limiter); `auth.ts:164-165` (chỉ rate limit OTP)</t>
        </is>
      </c>
      <c r="J4" s="11" t="inlineStr">
        <is>
          <t>Rate limit global/IP cho sign-in + lockout 3–5 lần sai đếm theo tài khoản</t>
        </is>
      </c>
      <c r="K4" s="11" t="inlineStr">
        <is>
          <t>OWASP Authentication Cheat Sheet</t>
        </is>
      </c>
    </row>
    <row r="5" ht="61" customHeight="1">
      <c r="A5" s="10" t="inlineStr">
        <is>
          <t>GA-04</t>
        </is>
      </c>
      <c r="B5" s="11" t="inlineStr">
        <is>
          <t>Xóa tài khoản / yêu cầu xóa dữ liệu cá nhân</t>
        </is>
      </c>
      <c r="C5" s="11" t="inlineStr">
        <is>
          <t>Không có endpoint xóa tài khoản ở tầng app (admin chỉ có ban/unban) — vi phạm NĐ 13/2023/NĐ-CP: người dùng có quyền yêu cầu xóa dữ liệu cá nhân trong 72h.</t>
        </is>
      </c>
      <c r="D5" s="12" t="inlineStr">
        <is>
          <t>P0</t>
        </is>
      </c>
      <c r="E5" s="13" t="inlineStr">
        <is>
          <t>Legal</t>
        </is>
      </c>
      <c r="F5" s="13" t="inlineStr">
        <is>
          <t>Todo</t>
        </is>
      </c>
      <c r="G5" s="13" t="inlineStr"/>
      <c r="H5" s="13" t="inlineStr"/>
      <c r="I5" s="11" t="inlineStr">
        <is>
          <t>`admin.routes.ts:48-50` (chỉ ban/unban); không có endpoint delete user tầng app</t>
        </is>
      </c>
      <c r="J5" s="11" t="inlineStr">
        <is>
          <t>Endpoint xóa tài khoản xử lý cascade (case/wallet/deposit) HOẶC quy trình yêu cầu xóa thủ công trong 72h</t>
        </is>
      </c>
      <c r="K5" s="11" t="inlineStr">
        <is>
          <t>NĐ 13/2023/NĐ-CP — quyền xóa trong 72h</t>
        </is>
      </c>
    </row>
    <row r="6" ht="61" customHeight="1">
      <c r="A6" s="10" t="inlineStr">
        <is>
          <t>GA-05</t>
        </is>
      </c>
      <c r="B6" s="11" t="inlineStr">
        <is>
          <t>Avatar upload</t>
        </is>
      </c>
      <c r="C6" s="11" t="inlineStr">
        <is>
          <t>Nút Đổi ảnh trong profile chỉ hiện toast đang phát triển — không có UI upload ảnh lẫn API update image; người dùng không cá nhân hóa được hồ sơ.</t>
        </is>
      </c>
      <c r="D6" s="14" t="inlineStr">
        <is>
          <t>P1</t>
        </is>
      </c>
      <c r="E6" s="13" t="inlineStr">
        <is>
          <t>Account</t>
        </is>
      </c>
      <c r="F6" s="13" t="inlineStr">
        <is>
          <t>Todo</t>
        </is>
      </c>
      <c r="G6" s="13" t="inlineStr"/>
      <c r="H6" s="13" t="inlineStr"/>
      <c r="I6" s="11" t="inlineStr">
        <is>
          <t>`ProfileInfoForm.tsx:45-51` (nút "Đổi ảnh" chỉ toast "đang phát triển")</t>
        </is>
      </c>
      <c r="J6" s="11" t="inlineStr">
        <is>
          <t>UI upload ảnh + endpoint update image tầng app</t>
        </is>
      </c>
      <c r="K6" s="11" t="inlineStr">
        <is>
          <t>Không có API update image hiện tại</t>
        </is>
      </c>
    </row>
    <row r="7" ht="75.5" customHeight="1">
      <c r="A7" s="10" t="inlineStr">
        <is>
          <t>GA-06</t>
        </is>
      </c>
      <c r="B7" s="11" t="inlineStr">
        <is>
          <t>UI quản lý session/thiết bị</t>
        </is>
      </c>
      <c r="C7" s="11" t="inlineStr">
        <is>
          <t>Session model đã lưu ip_address/user_agent nhưng không có trang liệt kê phiên đăng nhập, chỉ có nút revoke other sessions ẩn — người dùng không kiểm soát được thiết bị đang đăng nhập.</t>
        </is>
      </c>
      <c r="D7" s="14" t="inlineStr">
        <is>
          <t>P1</t>
        </is>
      </c>
      <c r="E7" s="13" t="inlineStr">
        <is>
          <t>Security</t>
        </is>
      </c>
      <c r="F7" s="13" t="inlineStr">
        <is>
          <t>Todo</t>
        </is>
      </c>
      <c r="G7" s="13" t="inlineStr"/>
      <c r="H7" s="13" t="inlineStr"/>
      <c r="I7" s="11" t="inlineStr">
        <is>
          <t>`settings-nav.ts:9-12` (chỉ 2 mục); `useProfileMutations.ts:36` (chỉ revokeOtherSessions ẩn)</t>
        </is>
      </c>
      <c r="J7" s="11" t="inlineStr">
        <is>
          <t>Trang liệt kê session (ip/user_agent) + revoke từng session</t>
        </is>
      </c>
      <c r="K7" s="11" t="inlineStr">
        <is>
          <t>Session model đã có ip_address/user_agent (`auth.ts:86-87`)</t>
        </is>
      </c>
    </row>
    <row r="8" ht="61" customHeight="1">
      <c r="A8" s="10" t="inlineStr">
        <is>
          <t>GA-07</t>
        </is>
      </c>
      <c r="B8" s="11" t="inlineStr">
        <is>
          <t>Chính sách session timeout (absolute/idle)</t>
        </is>
      </c>
      <c r="C8" s="11" t="inlineStr">
        <is>
          <t>Session config của Better Auth chỉ map fields cơ bản, không có expiresIn/inactivity policy — phiên đăng nhập có thể tồn tại vô hạn, tăng rủi ro khi thiết bị bị chiếm.</t>
        </is>
      </c>
      <c r="D8" s="14" t="inlineStr">
        <is>
          <t>P1</t>
        </is>
      </c>
      <c r="E8" s="13" t="inlineStr">
        <is>
          <t>Security</t>
        </is>
      </c>
      <c r="F8" s="13" t="inlineStr">
        <is>
          <t>Done</t>
        </is>
      </c>
      <c r="G8" s="13" t="inlineStr"/>
      <c r="H8" s="13" t="inlineStr"/>
      <c r="I8" s="11" t="inlineStr">
        <is>
          <t>`auth.ts:79-90` (session config chỉ map fields)</t>
        </is>
      </c>
      <c r="J8" s="11" t="inlineStr">
        <is>
          <t>Cấu hình expiresIn/inactivity policy cho Better Auth</t>
        </is>
      </c>
      <c r="K8" s="11" t="inlineStr">
        <is>
          <t>OWASP Session Management</t>
        </is>
      </c>
    </row>
    <row r="9" ht="61" customHeight="1">
      <c r="A9" s="10" t="inlineStr">
        <is>
          <t>GA-08</t>
        </is>
      </c>
      <c r="B9" s="11" t="inlineStr">
        <is>
          <t>Notification preferences</t>
        </is>
      </c>
      <c r="C9" s="11" t="inlineStr">
        <is>
          <t>Không có trang/endpoint tùy chỉnh notification preference — người dùng không chọn được loại thông báo và kênh (in-app/email/Telegram), dễ bị notification fatigue.</t>
        </is>
      </c>
      <c r="D9" s="14" t="inlineStr">
        <is>
          <t>P1</t>
        </is>
      </c>
      <c r="E9" s="13" t="inlineStr">
        <is>
          <t>Notification</t>
        </is>
      </c>
      <c r="F9" s="13" t="inlineStr">
        <is>
          <t>Todo</t>
        </is>
      </c>
      <c r="G9" s="13" t="inlineStr"/>
      <c r="H9" s="13" t="inlineStr"/>
      <c r="I9" s="11" t="inlineStr">
        <is>
          <t>Không có trang/endpoint preference; settings-nav chỉ 2 mục</t>
        </is>
      </c>
      <c r="J9" s="11" t="inlineStr">
        <is>
          <t>Bật/tắt thông báo theo loại + kênh (in-app/email/Telegram)</t>
        </is>
      </c>
      <c r="K9" s="11" t="inlineStr">
        <is>
          <t>Tránh notification fatigue</t>
        </is>
      </c>
    </row>
    <row r="10" ht="61" customHeight="1">
      <c r="A10" s="10" t="inlineStr">
        <is>
          <t>GA-09</t>
        </is>
      </c>
      <c r="B10" s="11" t="inlineStr">
        <is>
          <t>Pagination/search server-side cho case list + admin cases</t>
        </is>
      </c>
      <c r="C10" s="11" t="inlineStr">
        <is>
          <t>List case và list admin cases trả toàn bộ dữ liệu không phân trang, không search, không sort server-side — UI/API sẽ vỡ khi số case tăng.</t>
        </is>
      </c>
      <c r="D10" s="14" t="inlineStr">
        <is>
          <t>P1</t>
        </is>
      </c>
      <c r="E10" s="13" t="inlineStr">
        <is>
          <t>Admin</t>
        </is>
      </c>
      <c r="F10" s="13" t="inlineStr">
        <is>
          <t>Todo</t>
        </is>
      </c>
      <c r="G10" s="13" t="inlineStr"/>
      <c r="H10" s="13" t="inlineStr"/>
      <c r="I10" s="11" t="inlineStr">
        <is>
          <t>`list-cases.usecase.ts:3-5` (findManyCasesByRole không pagination/search); `list-admin-cases.usecase.ts:13-39` (chỉ stage/internal_status/limit)</t>
        </is>
      </c>
      <c r="J10" s="11" t="inlineStr">
        <is>
          <t>Offset/page + text search (case_code, tên) + sort server-side</t>
        </is>
      </c>
      <c r="K10" s="11" t="inlineStr">
        <is>
          <t>Sẽ vỡ khi số case tăng</t>
        </is>
      </c>
    </row>
    <row r="11" ht="46.5" customHeight="1">
      <c r="A11" s="10" t="inlineStr">
        <is>
          <t>GA-10</t>
        </is>
      </c>
      <c r="B11" s="11" t="inlineStr">
        <is>
          <t>Export CSV/Excel cho admin</t>
        </is>
      </c>
      <c r="C11" s="11" t="inlineStr">
        <is>
          <t>Không có endpoint export và chưa có thư viện csv/xlsx — admin không xuất được dữ liệu case/deposit/transactions để đối soát.</t>
        </is>
      </c>
      <c r="D11" s="14" t="inlineStr">
        <is>
          <t>P1</t>
        </is>
      </c>
      <c r="E11" s="13" t="inlineStr">
        <is>
          <t>Admin</t>
        </is>
      </c>
      <c r="F11" s="13" t="inlineStr">
        <is>
          <t>Todo</t>
        </is>
      </c>
      <c r="G11" s="13" t="inlineStr"/>
      <c r="H11" s="13" t="inlineStr"/>
      <c r="I11" s="11" t="inlineStr">
        <is>
          <t>Không có endpoint export, không có thư viện csv/xlsx</t>
        </is>
      </c>
      <c r="J11" s="11" t="inlineStr">
        <is>
          <t>Export danh sách case/deposit/transactions theo filter</t>
        </is>
      </c>
      <c r="K11" s="11" t="inlineStr">
        <is>
          <t>Phục vụ đối soát</t>
        </is>
      </c>
    </row>
    <row r="12" ht="61" customHeight="1">
      <c r="A12" s="10" t="inlineStr">
        <is>
          <t>GA-11</t>
        </is>
      </c>
      <c r="B12" s="11" t="inlineStr">
        <is>
          <t>User-facing data export</t>
        </is>
      </c>
      <c r="C12" s="11" t="inlineStr">
        <is>
          <t>Không có endpoint download my data — người dùng không tự lấy được dữ liệu cá nhân của mình; NĐ 13/2023 Điều 9 quy định quyền truy cập/cung cấp dữ liệu.</t>
        </is>
      </c>
      <c r="D12" s="14" t="inlineStr">
        <is>
          <t>P1</t>
        </is>
      </c>
      <c r="E12" s="13" t="inlineStr">
        <is>
          <t>Legal</t>
        </is>
      </c>
      <c r="F12" s="13" t="inlineStr">
        <is>
          <t>Todo</t>
        </is>
      </c>
      <c r="G12" s="13" t="inlineStr"/>
      <c r="H12" s="13" t="inlineStr"/>
      <c r="I12" s="11" t="inlineStr">
        <is>
          <t>Không có endpoint "download my data"</t>
        </is>
      </c>
      <c r="J12" s="11" t="inlineStr">
        <is>
          <t>Người dùng tự tải dữ liệu cá nhân của mình</t>
        </is>
      </c>
      <c r="K12" s="11" t="inlineStr">
        <is>
          <t>NĐ 13/2023 Điều 9 — quyền truy cập/cung cấp dữ liệu</t>
        </is>
      </c>
    </row>
    <row r="13" ht="61" customHeight="1">
      <c r="A13" s="10" t="inlineStr">
        <is>
          <t>GA-12</t>
        </is>
      </c>
      <c r="B13" s="11" t="inlineStr">
        <is>
          <t>ToS/Privacy Policy thật + ghi nhận consent</t>
        </is>
      </c>
      <c r="C13" s="11" t="inlineStr">
        <is>
          <t>Checkbox đồng ý terms trong AuthPanel không link tới văn bản ToS/Privacy thật và không lưu phiên bản consent — thiếu căn cứ pháp lý xử lý dữ liệu theo NĐ 13/2023.</t>
        </is>
      </c>
      <c r="D13" s="14" t="inlineStr">
        <is>
          <t>P1</t>
        </is>
      </c>
      <c r="E13" s="13" t="inlineStr">
        <is>
          <t>Legal</t>
        </is>
      </c>
      <c r="F13" s="13" t="inlineStr">
        <is>
          <t>Todo</t>
        </is>
      </c>
      <c r="G13" s="13" t="inlineStr"/>
      <c r="H13" s="13" t="inlineStr"/>
      <c r="I13" s="11" t="inlineStr">
        <is>
          <t>`AuthPanel.tsx:417-424` (checkbox terms không link văn bản)</t>
        </is>
      </c>
      <c r="J13" s="11" t="inlineStr">
        <is>
          <t>Trang ToS/Privacy thật + link từ checkbox + lưu phiên bản consent</t>
        </is>
      </c>
      <c r="K13" s="11" t="inlineStr">
        <is>
          <t>NĐ 13/2023 — căn cứ pháp lý xử lý dữ liệu</t>
        </is>
      </c>
    </row>
    <row r="14" ht="61" customHeight="1">
      <c r="A14" s="10" t="inlineStr">
        <is>
          <t>GA-13</t>
        </is>
      </c>
      <c r="B14" s="11" t="inlineStr">
        <is>
          <t>2FA cho admin/supporter</t>
        </is>
      </c>
      <c r="C14" s="11" t="inlineStr">
        <is>
          <t>Chưa cài twoFactor plugin — admin/supporter đăng nhập chỉ bằng password; admin duyệt deposit là điểm chẹn tiền, mất tài khoản admin là rủi ro tài chính trực tiếp.</t>
        </is>
      </c>
      <c r="D14" s="14" t="inlineStr">
        <is>
          <t>P1</t>
        </is>
      </c>
      <c r="E14" s="13" t="inlineStr">
        <is>
          <t>Security</t>
        </is>
      </c>
      <c r="F14" s="13" t="inlineStr">
        <is>
          <t>Todo</t>
        </is>
      </c>
      <c r="G14" s="13" t="inlineStr"/>
      <c r="H14" s="13" t="inlineStr"/>
      <c r="I14" s="11" t="inlineStr">
        <is>
          <t>`auth.ts:69` (map field) + `auth.ts:157-177` (không cài twoFactor plugin)</t>
        </is>
      </c>
      <c r="J14" s="11" t="inlineStr">
        <is>
          <t>Cài twoFactor plugin + UI setup TOTP; bắt buộc cho admin/supporter</t>
        </is>
      </c>
      <c r="K14" s="11" t="inlineStr">
        <is>
          <t>Admin duyệt deposit là điểm chẹn tiền</t>
        </is>
      </c>
    </row>
    <row r="15" ht="46.5" customHeight="1">
      <c r="A15" s="10" t="inlineStr">
        <is>
          <t>GA-14</t>
        </is>
      </c>
      <c r="B15" s="11" t="inlineStr">
        <is>
          <t>Rút tiền thủ công khỏi ví</t>
        </is>
      </c>
      <c r="C15" s="11" t="inlineStr">
        <is>
          <t>Ví chỉ có balance/history/purchase-credits, không có route rút tiền — người dùng không tự rút được tiền khỏi ví.</t>
        </is>
      </c>
      <c r="D15" s="15" t="inlineStr">
        <is>
          <t>P2</t>
        </is>
      </c>
      <c r="E15" s="13" t="inlineStr">
        <is>
          <t>Wallet</t>
        </is>
      </c>
      <c r="F15" s="13" t="inlineStr">
        <is>
          <t>Todo</t>
        </is>
      </c>
      <c r="G15" s="13" t="inlineStr"/>
      <c r="H15" s="13" t="inlineStr"/>
      <c r="I15" s="11" t="inlineStr">
        <is>
          <t>`wallet.routes.ts` (chỉ balance/history/purchase-credits/topups-410)</t>
        </is>
      </c>
      <c r="J15" s="11" t="inlineStr">
        <is>
          <t>Route user-initiated withdrawal + quy trình duyệt</t>
        </is>
      </c>
      <c r="K15" s="11" t="inlineStr">
        <is>
          <t>Liên quan pháp lý thanh toán — chốt policy trước</t>
        </is>
      </c>
    </row>
    <row r="16" ht="61" customHeight="1">
      <c r="A16" s="10" t="inlineStr">
        <is>
          <t>GA-15</t>
        </is>
      </c>
      <c r="B16" s="11" t="inlineStr">
        <is>
          <t>Policy credit mở: hết hạn / refund / chuyển credit</t>
        </is>
      </c>
      <c r="C16" s="11" t="inlineStr">
        <is>
          <t>Chưa chốt policy vòng đời credit (hết hạn, refund, chuyển credit giữa user) — rủi ro tranh chấp khi credit biến mất hoặc không dùng được.</t>
        </is>
      </c>
      <c r="D16" s="15" t="inlineStr">
        <is>
          <t>P2</t>
        </is>
      </c>
      <c r="E16" s="13" t="inlineStr">
        <is>
          <t>Wallet</t>
        </is>
      </c>
      <c r="F16" s="13" t="inlineStr">
        <is>
          <t>Todo</t>
        </is>
      </c>
      <c r="G16" s="13" t="inlineStr"/>
      <c r="H16" s="13" t="inlineStr"/>
      <c r="I16" s="11" t="inlineStr">
        <is>
          <t>`docs/backlog/credit-du-tru-account-level.md` §7</t>
        </is>
      </c>
      <c r="J16" s="11" t="inlineStr">
        <is>
          <t>Chốt: credit hết hạn không? refund policy? chuyển credit giữa user?</t>
        </is>
      </c>
      <c r="K16" s="11" t="inlineStr">
        <is>
          <t>Open questions — cần quyết định</t>
        </is>
      </c>
    </row>
    <row r="17" ht="61" customHeight="1">
      <c r="A17" s="10" t="inlineStr">
        <is>
          <t>GA-16</t>
        </is>
      </c>
      <c r="B17" s="11" t="inlineStr">
        <is>
          <t>Taxonomy chưa khóa: lý do đóng case, auto-priority, giới hạn gói free team-fit</t>
        </is>
      </c>
      <c r="C17" s="11" t="inlineStr">
        <is>
          <t>Chưa có danh sách lý do đóng case chuẩn, chưa có rule auto-priority, chưa giới hạn số lần dùng gói free team-fit — admin xử lý case không nhất quán.</t>
        </is>
      </c>
      <c r="D17" s="15" t="inlineStr">
        <is>
          <t>P2</t>
        </is>
      </c>
      <c r="E17" s="13" t="inlineStr">
        <is>
          <t>Admin</t>
        </is>
      </c>
      <c r="F17" s="13" t="inlineStr">
        <is>
          <t>Todo</t>
        </is>
      </c>
      <c r="G17" s="13" t="inlineStr"/>
      <c r="H17" s="13" t="inlineStr"/>
      <c r="I17" s="11" t="inlineStr">
        <is>
          <t>`docs/flows/case-lifecycle-flow.md`, `admin-triage-and-assignment-flow.md`, `team-fit-flow.md`</t>
        </is>
      </c>
      <c r="J17" s="11" t="inlineStr">
        <is>
          <t>Chốt danh sách lý do đóng case + rule auto-priority + số lần tối đa gói free</t>
        </is>
      </c>
      <c r="K17" s="11" t="inlineStr"/>
    </row>
    <row r="18" ht="75.5" customHeight="1">
      <c r="A18" s="10" t="inlineStr">
        <is>
          <t>GA-17</t>
        </is>
      </c>
      <c r="B18" s="11" t="inlineStr">
        <is>
          <t>CSRF tầng app + hạ tầng rate limit bền vững</t>
        </is>
      </c>
      <c r="C18" s="11" t="inlineStr">
        <is>
          <t>Webhook SePay không rate limit; idempotency và message rate limit dùng in-memory (mất khi restart/multi-instance); CSRF tầng app chưa xử lý — hạ tầng bảo mật không bền khi scale.</t>
        </is>
      </c>
      <c r="D18" s="15" t="inlineStr">
        <is>
          <t>P2</t>
        </is>
      </c>
      <c r="E18" s="13" t="inlineStr">
        <is>
          <t>Security</t>
        </is>
      </c>
      <c r="F18" s="13" t="inlineStr">
        <is>
          <t>Todo</t>
        </is>
      </c>
      <c r="G18" s="13" t="inlineStr"/>
      <c r="H18" s="13" t="inlineStr"/>
      <c r="I18" s="11" t="inlineStr">
        <is>
          <t>`sepay.routes.ts:7` (webhook không rate limit); `index.ts:78` (idempotency memoryStore); `message-send-rate-limit.ts:2` (in-memory)</t>
        </is>
      </c>
      <c r="J18" s="11" t="inlineStr">
        <is>
          <t>CSRF middleware/xác nhận SameSite; rate limit SePay webhook; idempotency + rate limit không mất khi restart (multi-instance)</t>
        </is>
      </c>
      <c r="K18" s="11" t="inlineStr"/>
    </row>
    <row r="19" ht="75.5" customHeight="1">
      <c r="A19" s="10" t="inlineStr">
        <is>
          <t>GA-18</t>
        </is>
      </c>
      <c r="B19" s="11" t="inlineStr">
        <is>
          <t>Cleanup deprecated + dead code</t>
        </is>
      </c>
      <c r="C19" s="11" t="inlineStr">
        <is>
          <t>Schema còn 2 model @deprecated (WalletTopup, Payment), dead code deposit (trang payments redirect, useMyPayments/PaymentHistoryList không ai import) và RESEND_API_KEY fail-fast cứng — codebase chở hàng chết.</t>
        </is>
      </c>
      <c r="D19" s="15" t="inlineStr">
        <is>
          <t>P2</t>
        </is>
      </c>
      <c r="E19" s="13" t="inlineStr">
        <is>
          <t>Infra</t>
        </is>
      </c>
      <c r="F19" s="13" t="inlineStr">
        <is>
          <t>In Progress</t>
        </is>
      </c>
      <c r="G19" s="13" t="inlineStr"/>
      <c r="H19" s="13" t="inlineStr"/>
      <c r="I19" s="11" t="inlineStr">
        <is>
          <t>`schema.prisma` (@deprecated WalletTopup/Payment); `payments/page.tsx:9-11` (redirect); useMyPayments/PaymentHistoryList không import</t>
        </is>
      </c>
      <c r="J19" s="11" t="inlineStr">
        <is>
          <t>Archive 2 model deprecated; bỏ dead code deposit; xử lý RESEND_API_KEY fail-fast cứng</t>
        </is>
      </c>
      <c r="K19" s="11" t="inlineStr">
        <is>
          <t>Đã bổ sung cleanup dead code đã xác minh; code review PASS; `npm run check-types` PASS. Phần archive Prisma/RESEND giữ nguyên, cần xử lý riêng.</t>
        </is>
      </c>
    </row>
    <row r="20" ht="46.5" customHeight="1">
      <c r="A20" s="10" t="inlineStr">
        <is>
          <t>GA-19</t>
        </is>
      </c>
      <c r="B20" s="11" t="inlineStr">
        <is>
          <t>Chat unread-per-user</t>
        </is>
      </c>
      <c r="C20" s="11" t="inlineStr">
        <is>
          <t>Chat hiển thị tổng số tin nhắn thay vì unread-per-user — người dùng không biết tin nào mới, dễ bỏ sót phản hồi.</t>
        </is>
      </c>
      <c r="D20" s="15" t="inlineStr">
        <is>
          <t>P2</t>
        </is>
      </c>
      <c r="E20" s="13" t="inlineStr">
        <is>
          <t>Chat</t>
        </is>
      </c>
      <c r="F20" s="13" t="inlineStr">
        <is>
          <t>Todo</t>
        </is>
      </c>
      <c r="G20" s="13" t="inlineStr"/>
      <c r="H20" s="13" t="inlineStr"/>
      <c r="I20" s="11" t="inlineStr">
        <is>
          <t>`case/[id]/page.tsx:113` (messages?.length = tổng số tin)</t>
        </is>
      </c>
      <c r="J20" s="11" t="inlineStr">
        <is>
          <t>Unread count theo user thay vì tổng số tin</t>
        </is>
      </c>
      <c r="K20" s="11" t="inlineStr">
        <is>
          <t>Nice-to-have</t>
        </is>
      </c>
    </row>
    <row r="21" ht="61" customHeight="1">
      <c r="A21" s="10" t="inlineStr">
        <is>
          <t>GA-20</t>
        </is>
      </c>
      <c r="B21" s="11" t="inlineStr">
        <is>
          <t>Backup tự động (scheduled + RPO)</t>
        </is>
      </c>
      <c r="C21" s="11" t="inlineStr">
        <is>
          <t>Backup DB chỉ là guide thủ công, không scheduled, không RPO, không test restore — hệ thống giữ dữ liệu tài chính, mất dữ liệu là thảm họa.</t>
        </is>
      </c>
      <c r="D21" s="15" t="inlineStr">
        <is>
          <t>P2</t>
        </is>
      </c>
      <c r="E21" s="13" t="inlineStr">
        <is>
          <t>Infra</t>
        </is>
      </c>
      <c r="F21" s="13" t="inlineStr">
        <is>
          <t>Todo</t>
        </is>
      </c>
      <c r="G21" s="13" t="inlineStr"/>
      <c r="H21" s="13" t="inlineStr"/>
      <c r="I21" s="11" t="inlineStr">
        <is>
          <t>`docs/db-backup-guide.md` (chỉ guide thủ công)</t>
        </is>
      </c>
      <c r="J21" s="11" t="inlineStr">
        <is>
          <t>Scheduled pg_dump + RPO rõ ràng + test restore</t>
        </is>
      </c>
      <c r="K21" s="11" t="inlineStr">
        <is>
          <t>Hệ thống giữ dữ liệu tài chính</t>
        </is>
      </c>
    </row>
  </sheetData>
  <autoFilter ref="A1:K21"/>
  <conditionalFormatting sqref="D2:D21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conditionalFormatting sqref="F2:F21">
    <cfRule type="cellIs" priority="4" operator="equal" dxfId="3">
      <formula>"Todo"</formula>
    </cfRule>
    <cfRule type="cellIs" priority="5" operator="equal" dxfId="4">
      <formula>"In Progress"</formula>
    </cfRule>
    <cfRule type="cellIs" priority="6" operator="equal" dxfId="5">
      <formula>"Review"</formula>
    </cfRule>
    <cfRule type="cellIs" priority="7" operator="equal" dxfId="6">
      <formula>"Done"</formula>
    </cfRule>
    <cfRule type="cellIs" priority="8" operator="equal" dxfId="7">
      <formula>"Blocked"</formula>
    </cfRule>
  </conditionalFormatting>
  <dataValidations count="2">
    <dataValidation sqref="D2:D21" showDropDown="0" showInputMessage="0" showErrorMessage="0" allowBlank="1" error="Priority phải là P0, P1 hoặc P2" type="list">
      <formula1>"P0,P1,P2"</formula1>
    </dataValidation>
    <dataValidation sqref="F2:F21" showDropDown="0" showInputMessage="0" showErrorMessage="0" allowBlank="1" type="list">
      <formula1>"Todo,In Progress,Review,Done,Blocked"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Execution Order (khuyến nghị)</t>
        </is>
      </c>
    </row>
    <row r="3" ht="18" customHeight="1">
      <c r="A3" s="16" t="inlineStr">
        <is>
          <t>1. GA-01 — fix quên mật khẩu (impact lớn nhất, fix nhỏ nhất, không đụng DB).</t>
        </is>
      </c>
    </row>
    <row r="4" ht="18" customHeight="1">
      <c r="A4" s="16" t="inlineStr">
        <is>
          <t>2. GA-02 — xác minh code trạng thái `intake_ready` → chốt intake flow (cần quyết định Q1–Q5).</t>
        </is>
      </c>
    </row>
    <row r="5" ht="18" customHeight="1">
      <c r="A5" s="16" t="inlineStr">
        <is>
          <t>3. GA-03 — rate limit + lockout đăng nhập.</t>
        </is>
      </c>
    </row>
    <row r="6" ht="33" customHeight="1">
      <c r="A6" s="16" t="inlineStr">
        <is>
          <t>4. GA-04 — xóa tài khoản + GA-13 — 2FA admin/supporter + GA-07 — session timeout (nhóm bảo mật tài khoản).</t>
        </is>
      </c>
    </row>
    <row r="7" ht="18" customHeight="1">
      <c r="A7" s="16" t="inlineStr">
        <is>
          <t>5. GA-12 — ToS/Privacy + consent + GA-11 — user data export (nhóm tuân thủ NĐ 13/2023).</t>
        </is>
      </c>
    </row>
    <row r="8" ht="33" customHeight="1">
      <c r="A8" s="16" t="inlineStr">
        <is>
          <t>6. P1 còn lại: GA-05 avatar → GA-06 session UI → GA-09 pagination/search → GA-10 export CSV → GA-08 notification preferences.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Conventions</t>
        </is>
      </c>
    </row>
    <row r="3" ht="18" customHeight="1">
      <c r="A3" s="16" t="inlineStr">
        <is>
          <t>1. Nguồn sự thật là bảng Master — mọi cập nhật trạng thái sửa ở đây (và sheet khi đã đồng bộ).</t>
        </is>
      </c>
    </row>
    <row r="4" ht="33" customHeight="1">
      <c r="A4" s="16" t="inlineStr">
        <is>
          <t>2. Ai cập nhật: Assignee cập nhật status + evidence task của mình; leader rà lại trước mỗi họp (1 lần/tuần).</t>
        </is>
      </c>
    </row>
    <row r="5" ht="48" customHeight="1">
      <c r="A5" s="16" t="inlineStr">
        <is>
          <t>3. Status flow: Todo → In Progress (khi có branch/commit thật) → Review (khi mở PR, điền link vào Evidence) → Done (CHỈ khi PR merged + verify xong, không tự tick) → Blocked (kẹt &gt;1 ngày hoặc cần quyết định — ghi lý do vào Ghi chú, nêu trong họp).</t>
        </is>
      </c>
    </row>
    <row r="6" ht="18" customHeight="1">
      <c r="A6" s="16" t="inlineStr">
        <is>
          <t>4. Assignee: 1 tên duy nhất chịu trách nhiệm chính; để trống = chưa ai nhận, chốt trong họp.</t>
        </is>
      </c>
    </row>
    <row r="7" ht="18" customHeight="1">
      <c r="A7" s="16" t="inlineStr">
        <is>
          <t>5. Evidence: task Done phải có ≥1 link (PR/commit/doc) — không link = chưa hoàn thành.</t>
        </is>
      </c>
    </row>
    <row r="8" ht="33" customHeight="1">
      <c r="A8" s="16" t="inlineStr">
        <is>
          <t>6. Priority: P0 chặn release / vi phạm pháp lý → ưu tiên tuyệt đối, không trễ quá 1 sprint; P1 trong kế hoạch học kỳ; P2 làm khi rảnh, không cam kết hạn.</t>
        </is>
      </c>
    </row>
    <row r="9" ht="18" customHeight="1">
      <c r="A9" s="16" t="inlineStr">
        <is>
          <t>7. Sort: luôn giữ P0 trước rồi ID; ID cố định GA-01…GA-20, không đổi khi sắp xếp.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2026-08-25T03:36:46Z</dcterms:created>
  <dcterms:modified xsi:type="dcterms:W3CDTF">2026-08-25T03:36:46Z</dcterms:modified>
</cp:coreProperties>
</file>