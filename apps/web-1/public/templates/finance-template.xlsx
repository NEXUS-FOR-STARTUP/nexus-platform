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612" windowWidth="22716" windowHeight="9468" tabRatio="600" firstSheet="0" activeTab="0" autoFilterDateGrouping="1"/>
  </bookViews>
  <sheets>
    <sheet xmlns:r="http://schemas.openxmlformats.org/officeDocument/2006/relationships" name="Profit and Loss (P&amp;L) Statem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-* #,##0_-;\(#,##0\)_-;_-* &quot;-&quot;_-;_-@"/>
    <numFmt numFmtId="165" formatCode="_(* #,##0.0_);_(* \(#,##0.0\);_(* &quot;-&quot;??_);_(@_)"/>
  </numFmts>
  <fonts count="18">
    <font>
      <name val="Calibri"/>
      <color theme="1"/>
      <sz val="11"/>
      <scheme val="minor"/>
    </font>
    <font>
      <name val="Open Sans"/>
      <b val="1"/>
      <color rgb="FFFFFFFF"/>
      <sz val="14"/>
    </font>
    <font>
      <name val="Open Sans"/>
      <color theme="0"/>
      <sz val="10"/>
    </font>
    <font>
      <name val="Open Sans"/>
      <color theme="0"/>
      <sz val="8"/>
    </font>
    <font>
      <name val="Open Sans"/>
      <b val="1"/>
      <color theme="0"/>
      <sz val="10"/>
    </font>
    <font>
      <name val="Open Sans"/>
      <b val="1"/>
      <color rgb="FF000000"/>
      <sz val="10"/>
    </font>
    <font>
      <name val="Open Sans"/>
      <color rgb="FF000000"/>
      <sz val="10"/>
    </font>
    <font>
      <name val="Open Sans"/>
      <color theme="1"/>
      <sz val="10"/>
    </font>
    <font>
      <name val="Open Sans"/>
      <color rgb="FF3333FF"/>
      <sz val="10"/>
    </font>
    <font>
      <name val="Calibri"/>
      <color theme="1"/>
      <sz val="11"/>
    </font>
    <font>
      <name val="Open Sans"/>
      <b val="1"/>
      <color theme="1"/>
      <sz val="10"/>
    </font>
    <font>
      <name val="Open Sans"/>
      <i val="1"/>
      <color theme="1"/>
      <sz val="10"/>
    </font>
    <font>
      <name val="Calibri"/>
      <i val="1"/>
      <color theme="1"/>
      <sz val="11"/>
    </font>
    <font>
      <name val="Open Sans"/>
      <b val="1"/>
      <color rgb="FF3333FF"/>
      <sz val="10"/>
    </font>
    <font>
      <name val="Calibri"/>
      <b val="1"/>
      <color theme="1"/>
      <sz val="11"/>
    </font>
    <font>
      <name val="Open Sans"/>
      <color rgb="FFBFBFBF"/>
      <sz val="10"/>
    </font>
    <font>
      <name val="Calibri"/>
      <color rgb="FFBFBFBF"/>
      <sz val="11"/>
    </font>
    <font>
      <name val="Open Sans"/>
      <b val="1"/>
      <color rgb="FFBFBFBF"/>
      <sz val="10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4"/>
  </cellStyleXfs>
  <cellXfs count="3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2" borderId="1" pivotButton="0" quotePrefix="0" xfId="0"/>
    <xf numFmtId="164" fontId="3" fillId="2" borderId="1" applyAlignment="1" pivotButton="0" quotePrefix="0" xfId="0">
      <alignment horizontal="right"/>
    </xf>
    <xf numFmtId="0" fontId="4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vertical="center"/>
    </xf>
    <xf numFmtId="0" fontId="5" fillId="2" borderId="2" applyAlignment="1" pivotButton="0" quotePrefix="0" xfId="0">
      <alignment horizontal="center"/>
    </xf>
    <xf numFmtId="0" fontId="6" fillId="0" borderId="3" pivotButton="0" quotePrefix="0" xfId="0"/>
    <xf numFmtId="0" fontId="5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7" fillId="3" borderId="4" pivotButton="0" quotePrefix="0" xfId="0"/>
    <xf numFmtId="165" fontId="8" fillId="3" borderId="4" pivotButton="0" quotePrefix="0" xfId="0"/>
    <xf numFmtId="165" fontId="8" fillId="3" borderId="4" pivotButton="0" quotePrefix="0" xfId="0"/>
    <xf numFmtId="0" fontId="9" fillId="3" borderId="1" pivotButton="0" quotePrefix="0" xfId="0"/>
    <xf numFmtId="0" fontId="7" fillId="3" borderId="1" pivotButton="0" quotePrefix="0" xfId="0"/>
    <xf numFmtId="165" fontId="8" fillId="3" borderId="1" pivotButton="0" quotePrefix="0" xfId="0"/>
    <xf numFmtId="0" fontId="10" fillId="4" borderId="5" pivotButton="0" quotePrefix="0" xfId="0"/>
    <xf numFmtId="165" fontId="10" fillId="4" borderId="5" pivotButton="0" quotePrefix="0" xfId="0"/>
    <xf numFmtId="0" fontId="10" fillId="3" borderId="1" pivotButton="0" quotePrefix="0" xfId="0"/>
    <xf numFmtId="165" fontId="10" fillId="3" borderId="1" pivotButton="0" quotePrefix="0" xfId="0"/>
    <xf numFmtId="0" fontId="11" fillId="3" borderId="1" applyAlignment="1" pivotButton="0" quotePrefix="0" xfId="0">
      <alignment horizontal="right"/>
    </xf>
    <xf numFmtId="9" fontId="7" fillId="3" borderId="1" pivotButton="0" quotePrefix="0" xfId="0"/>
    <xf numFmtId="165" fontId="7" fillId="3" borderId="1" pivotButton="0" quotePrefix="0" xfId="0"/>
    <xf numFmtId="0" fontId="7" fillId="3" borderId="5" pivotButton="0" quotePrefix="0" xfId="0"/>
    <xf numFmtId="165" fontId="7" fillId="3" borderId="5" pivotButton="0" quotePrefix="0" xfId="0"/>
    <xf numFmtId="9" fontId="11" fillId="3" borderId="1" pivotButton="0" quotePrefix="0" xfId="0"/>
    <xf numFmtId="0" fontId="12" fillId="3" borderId="1" pivotButton="0" quotePrefix="0" xfId="0"/>
    <xf numFmtId="165" fontId="13" fillId="3" borderId="1" pivotButton="0" quotePrefix="0" xfId="0"/>
    <xf numFmtId="0" fontId="14" fillId="3" borderId="1" pivotButton="0" quotePrefix="0" xfId="0"/>
    <xf numFmtId="0" fontId="11" fillId="4" borderId="1" applyAlignment="1" pivotButton="0" quotePrefix="0" xfId="0">
      <alignment horizontal="right"/>
    </xf>
    <xf numFmtId="9" fontId="11" fillId="4" borderId="1" applyAlignment="1" pivotButton="0" quotePrefix="0" xfId="0">
      <alignment horizontal="right"/>
    </xf>
    <xf numFmtId="0" fontId="12" fillId="3" borderId="1" applyAlignment="1" pivotButton="0" quotePrefix="0" xfId="0">
      <alignment horizontal="right"/>
    </xf>
    <xf numFmtId="0" fontId="15" fillId="3" borderId="1" pivotButton="0" quotePrefix="0" xfId="0"/>
    <xf numFmtId="165" fontId="15" fillId="3" borderId="1" pivotButton="0" quotePrefix="0" xfId="0"/>
    <xf numFmtId="0" fontId="16" fillId="3" borderId="1" pivotButton="0" quotePrefix="0" xfId="0"/>
    <xf numFmtId="0" fontId="17" fillId="3" borderId="5" pivotButton="0" quotePrefix="0" xfId="0"/>
    <xf numFmtId="165" fontId="17" fillId="3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tabSelected="1" workbookViewId="0">
      <selection activeCell="M5" sqref="M5"/>
    </sheetView>
  </sheetViews>
  <sheetFormatPr baseColWidth="8" defaultColWidth="14.44140625" defaultRowHeight="15" customHeight="1"/>
  <cols>
    <col width="38" customWidth="1" min="1" max="1"/>
    <col width="12.33203125" customWidth="1" min="2" max="13"/>
    <col width="8.6640625" customWidth="1" min="14" max="20"/>
  </cols>
  <sheetData>
    <row r="1" ht="14.25" customHeight="1">
      <c r="A1" s="1" t="inlineStr">
        <is>
          <t>HYBRID - Self-study E-learning &amp; Teaching Resource Website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4.25" customHeight="1">
      <c r="A2" s="4" t="inlineStr">
        <is>
          <t>Profit and Loss (P&amp;L) Statement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4.25" customHeight="1">
      <c r="A3" s="5" t="inlineStr">
        <is>
          <t>Unit: VND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4.25" customHeight="1">
      <c r="A4" s="7" t="n"/>
      <c r="B4" s="9" t="inlineStr">
        <is>
          <t>Q4/2026</t>
        </is>
      </c>
      <c r="C4" s="9" t="inlineStr">
        <is>
          <t>Q1/2027</t>
        </is>
      </c>
      <c r="D4" s="9" t="inlineStr">
        <is>
          <t>Q2/2027</t>
        </is>
      </c>
      <c r="E4" s="9" t="inlineStr">
        <is>
          <t>Q3/2027</t>
        </is>
      </c>
      <c r="F4" s="9" t="inlineStr">
        <is>
          <t>Q4/2027</t>
        </is>
      </c>
      <c r="G4" s="9" t="inlineStr">
        <is>
          <t>Q1/2028</t>
        </is>
      </c>
      <c r="H4" s="9" t="inlineStr">
        <is>
          <t>Q2/2028</t>
        </is>
      </c>
      <c r="I4" s="9" t="inlineStr">
        <is>
          <t>Q3/2028</t>
        </is>
      </c>
      <c r="J4" s="9" t="inlineStr">
        <is>
          <t>Q4/2028</t>
        </is>
      </c>
      <c r="K4" s="9" t="inlineStr">
        <is>
          <t>Q1/2029</t>
        </is>
      </c>
      <c r="L4" s="9" t="inlineStr">
        <is>
          <t>Q2/2029</t>
        </is>
      </c>
      <c r="M4" s="9" t="inlineStr">
        <is>
          <t>Q3/2029</t>
        </is>
      </c>
    </row>
    <row r="5" ht="14.25" customHeight="1">
      <c r="A5" s="10" t="inlineStr">
        <is>
          <t>Revenue stream 1</t>
        </is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3" t="n"/>
      <c r="O5" s="13" t="n"/>
      <c r="P5" s="13" t="n"/>
      <c r="Q5" s="13" t="n"/>
      <c r="R5" s="13" t="n"/>
      <c r="S5" s="13" t="n"/>
      <c r="T5" s="13" t="n"/>
    </row>
    <row r="6" ht="14.25" customHeight="1">
      <c r="A6" s="14" t="inlineStr">
        <is>
          <t>Revenue stream 2</t>
        </is>
      </c>
      <c r="B6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3" t="n"/>
      <c r="O6" s="13" t="n"/>
      <c r="P6" s="13" t="n"/>
      <c r="Q6" s="13" t="n"/>
      <c r="R6" s="13" t="n"/>
      <c r="S6" s="13" t="n"/>
      <c r="T6" s="13" t="n"/>
    </row>
    <row r="7" ht="14.25" customHeight="1">
      <c r="A7" s="14" t="inlineStr">
        <is>
          <t>Returns, Refunds, Discounts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3" t="n"/>
      <c r="O7" s="13" t="n"/>
      <c r="P7" s="13" t="n"/>
      <c r="Q7" s="13" t="n"/>
      <c r="R7" s="13" t="n"/>
      <c r="S7" s="13" t="n"/>
      <c r="T7" s="13" t="n"/>
    </row>
    <row r="8" ht="14.25" customHeight="1">
      <c r="A8" s="16" t="inlineStr">
        <is>
          <t>Total Net Revenue</t>
        </is>
      </c>
      <c r="B8" s="17">
        <f>SUM(B5:B7)</f>
        <v/>
      </c>
      <c r="C8" s="17">
        <f>SUM(C5:C7)</f>
        <v/>
      </c>
      <c r="D8" s="17">
        <f>SUM(D5:D7)</f>
        <v/>
      </c>
      <c r="E8" s="17">
        <f>SUM(E5:E7)</f>
        <v/>
      </c>
      <c r="F8" s="17">
        <f>SUM(F5:F7)</f>
        <v/>
      </c>
      <c r="G8" s="17">
        <f>SUM(G5:G7)</f>
        <v/>
      </c>
      <c r="H8" s="17">
        <f>SUM(H5:H7)</f>
        <v/>
      </c>
      <c r="I8" s="17">
        <f>SUM(I5:I7)</f>
        <v/>
      </c>
      <c r="J8" s="17">
        <f>SUM(J5:J7)</f>
        <v/>
      </c>
      <c r="K8" s="17">
        <f>SUM(K5:K7)</f>
        <v/>
      </c>
      <c r="L8" s="17">
        <f>SUM(L5:L7)</f>
        <v/>
      </c>
      <c r="M8" s="17">
        <f>SUM(M5:M7)</f>
        <v/>
      </c>
      <c r="N8" s="13" t="n"/>
      <c r="O8" s="13" t="n"/>
      <c r="P8" s="13" t="n"/>
      <c r="Q8" s="13" t="n"/>
      <c r="R8" s="13" t="n"/>
      <c r="S8" s="13" t="n"/>
      <c r="T8" s="13" t="n"/>
    </row>
    <row r="9" ht="14.25" customHeight="1">
      <c r="A9" s="18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3" t="n"/>
      <c r="O9" s="13" t="n"/>
      <c r="P9" s="13" t="n"/>
      <c r="Q9" s="13" t="n"/>
      <c r="R9" s="13" t="n"/>
      <c r="S9" s="13" t="n"/>
      <c r="T9" s="13" t="n"/>
    </row>
    <row r="10" ht="14.25" customHeight="1">
      <c r="A10" s="14" t="inlineStr">
        <is>
          <t>Cost of Goods Sold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3" t="n"/>
      <c r="O10" s="13" t="n"/>
      <c r="P10" s="13" t="n"/>
      <c r="Q10" s="13" t="n"/>
      <c r="R10" s="13" t="n"/>
      <c r="S10" s="13" t="n"/>
      <c r="T10" s="13" t="n"/>
    </row>
    <row r="11" ht="14.25" customHeight="1">
      <c r="A11" s="16" t="inlineStr">
        <is>
          <t>Gross Profit</t>
        </is>
      </c>
      <c r="B11" s="17">
        <f>B8-B10</f>
        <v/>
      </c>
      <c r="C11" s="17">
        <f>C8-C10</f>
        <v/>
      </c>
      <c r="D11" s="17">
        <f>D8-D10</f>
        <v/>
      </c>
      <c r="E11" s="17">
        <f>E8-E10</f>
        <v/>
      </c>
      <c r="F11" s="17">
        <f>F8-F10</f>
        <v/>
      </c>
      <c r="G11" s="17">
        <f>G8-G10</f>
        <v/>
      </c>
      <c r="H11" s="17">
        <f>H8-H10</f>
        <v/>
      </c>
      <c r="I11" s="17">
        <f>I8-I10</f>
        <v/>
      </c>
      <c r="J11" s="17">
        <f>J8-J10</f>
        <v/>
      </c>
      <c r="K11" s="17">
        <f>K8-K10</f>
        <v/>
      </c>
      <c r="L11" s="17">
        <f>L8-L10</f>
        <v/>
      </c>
      <c r="M11" s="17">
        <f>M8-M10</f>
        <v/>
      </c>
      <c r="N11" s="13" t="n"/>
      <c r="O11" s="13" t="n"/>
      <c r="P11" s="13" t="n"/>
      <c r="Q11" s="13" t="n"/>
      <c r="R11" s="13" t="n"/>
      <c r="S11" s="13" t="n"/>
      <c r="T11" s="13" t="n"/>
    </row>
    <row r="12" ht="14.25" customHeight="1">
      <c r="A12" s="20" t="inlineStr">
        <is>
          <t>Gross Profit Margin %</t>
        </is>
      </c>
      <c r="B12" s="21">
        <f>IF(B8=0,"",B11/B8)</f>
        <v/>
      </c>
      <c r="C12" s="21">
        <f>IF(C8=0,"",C11/C8)</f>
        <v/>
      </c>
      <c r="D12" s="21">
        <f>IF(D8=0,"",D11/D8)</f>
        <v/>
      </c>
      <c r="E12" s="21">
        <f>IF(E8=0,"",E11/E8)</f>
        <v/>
      </c>
      <c r="F12" s="21">
        <f>IF(F8=0,"",F11/F8)</f>
        <v/>
      </c>
      <c r="G12" s="21">
        <f>IF(G8=0,"",G11/G8)</f>
        <v/>
      </c>
      <c r="H12" s="21">
        <f>IF(H8=0,"",H11/H8)</f>
        <v/>
      </c>
      <c r="I12" s="21">
        <f>IF(I8=0,"",I11/I8)</f>
        <v/>
      </c>
      <c r="J12" s="21">
        <f>IF(J8=0,"",J11/J8)</f>
        <v/>
      </c>
      <c r="K12" s="21">
        <f>IF(K8=0,"",K11/K8)</f>
        <v/>
      </c>
      <c r="L12" s="21">
        <f>IF(L8=0,"",L11/L8)</f>
        <v/>
      </c>
      <c r="M12" s="21">
        <f>IF(M8=0,"",M11/M8)</f>
        <v/>
      </c>
      <c r="N12" s="13" t="n"/>
      <c r="O12" s="13" t="n"/>
      <c r="P12" s="13" t="n"/>
      <c r="Q12" s="13" t="n"/>
      <c r="R12" s="13" t="n"/>
      <c r="S12" s="13" t="n"/>
      <c r="T12" s="13" t="n"/>
    </row>
    <row r="13" ht="14.25" customHeight="1">
      <c r="A13" s="18" t="n"/>
      <c r="B13" s="19" t="n"/>
      <c r="C13" s="19" t="n"/>
      <c r="D13" s="19" t="n"/>
      <c r="E13" s="19" t="n"/>
      <c r="F13" s="13" t="n"/>
      <c r="G13" s="19" t="n"/>
      <c r="H13" s="19" t="n"/>
      <c r="I13" s="19" t="n"/>
      <c r="J13" s="19" t="n"/>
      <c r="K13" s="19" t="n"/>
      <c r="L13" s="19" t="n"/>
      <c r="M13" s="19" t="n"/>
      <c r="N13" s="13" t="n"/>
      <c r="O13" s="13" t="n"/>
      <c r="P13" s="13" t="n"/>
      <c r="Q13" s="13" t="n"/>
      <c r="R13" s="13" t="n"/>
      <c r="S13" s="13" t="n"/>
      <c r="T13" s="13" t="n"/>
    </row>
    <row r="14" ht="14.25" customHeight="1">
      <c r="A14" s="18" t="inlineStr">
        <is>
          <t>Expenses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13" t="n"/>
      <c r="O14" s="13" t="n"/>
      <c r="P14" s="13" t="n"/>
      <c r="Q14" s="13" t="n"/>
      <c r="R14" s="13" t="n"/>
      <c r="S14" s="13" t="n"/>
      <c r="T14" s="13" t="n"/>
    </row>
    <row r="15" ht="14.25" customHeight="1">
      <c r="A15" s="14" t="inlineStr">
        <is>
          <t>Advertising &amp; Promotion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9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3" t="n"/>
      <c r="O15" s="13" t="n"/>
      <c r="P15" s="13" t="n"/>
      <c r="Q15" s="13" t="n"/>
      <c r="R15" s="13" t="n"/>
      <c r="S15" s="13" t="n"/>
      <c r="T15" s="13" t="n"/>
    </row>
    <row r="16" ht="14.25" customHeight="1">
      <c r="A16" s="14" t="inlineStr">
        <is>
          <t>Depreciation &amp; Amortization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3" t="n"/>
      <c r="O16" s="13" t="n"/>
      <c r="P16" s="13" t="n"/>
      <c r="Q16" s="13" t="n"/>
      <c r="R16" s="13" t="n"/>
      <c r="S16" s="13" t="n"/>
      <c r="T16" s="13" t="n"/>
    </row>
    <row r="17" ht="14.25" customHeight="1">
      <c r="A17" s="14" t="inlineStr">
        <is>
          <t>Insurance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3" t="n"/>
      <c r="O17" s="13" t="n"/>
      <c r="P17" s="13" t="n"/>
      <c r="Q17" s="13" t="n"/>
      <c r="R17" s="13" t="n"/>
      <c r="S17" s="13" t="n"/>
      <c r="T17" s="13" t="n"/>
    </row>
    <row r="18" ht="14.25" customHeight="1">
      <c r="A18" s="14" t="inlineStr">
        <is>
          <t>Maintenance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3" t="n"/>
      <c r="O18" s="13" t="n"/>
      <c r="P18" s="13" t="n"/>
      <c r="Q18" s="13" t="n"/>
      <c r="R18" s="13" t="n"/>
      <c r="S18" s="13" t="n"/>
      <c r="T18" s="13" t="n"/>
    </row>
    <row r="19" ht="14.25" customHeight="1">
      <c r="A19" s="14" t="inlineStr">
        <is>
          <t>Office Supplies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3" t="n"/>
      <c r="O19" s="13" t="n"/>
      <c r="P19" s="13" t="n"/>
      <c r="Q19" s="13" t="n"/>
      <c r="R19" s="13" t="n"/>
      <c r="S19" s="13" t="n"/>
      <c r="T19" s="13" t="n"/>
    </row>
    <row r="20" ht="14.25" customHeight="1">
      <c r="A20" s="14" t="inlineStr">
        <is>
          <t>Rent</t>
        </is>
      </c>
      <c r="B20" s="15" t="n">
        <v>0</v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3" t="n"/>
      <c r="O20" s="13" t="n"/>
      <c r="P20" s="13" t="n"/>
      <c r="Q20" s="13" t="n"/>
      <c r="R20" s="13" t="n"/>
      <c r="S20" s="13" t="n"/>
      <c r="T20" s="13" t="n"/>
    </row>
    <row r="21" ht="14.25" customHeight="1">
      <c r="A21" s="14" t="inlineStr">
        <is>
          <t>Salaries, Benefits &amp; Wages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3" t="n"/>
      <c r="O21" s="13" t="n"/>
      <c r="P21" s="13" t="n"/>
      <c r="Q21" s="13" t="n"/>
      <c r="R21" s="13" t="n"/>
      <c r="S21" s="13" t="n"/>
      <c r="T21" s="13" t="n"/>
    </row>
    <row r="22" ht="14.25" customHeight="1">
      <c r="A22" s="14" t="inlineStr">
        <is>
          <t>Telecommunication</t>
        </is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3" t="n"/>
      <c r="O22" s="13" t="n"/>
      <c r="P22" s="13" t="n"/>
      <c r="Q22" s="13" t="n"/>
      <c r="R22" s="13" t="n"/>
      <c r="S22" s="13" t="n"/>
      <c r="T22" s="13" t="n"/>
    </row>
    <row r="23" ht="14.25" customHeight="1">
      <c r="A23" s="14" t="inlineStr">
        <is>
          <t>Travel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3" t="n"/>
      <c r="O23" s="13" t="n"/>
      <c r="P23" s="13" t="n"/>
      <c r="Q23" s="13" t="n"/>
      <c r="R23" s="13" t="n"/>
      <c r="S23" s="13" t="n"/>
      <c r="T23" s="13" t="n"/>
    </row>
    <row r="24" ht="14.25" customHeight="1">
      <c r="A24" s="14" t="inlineStr">
        <is>
          <t>Utilities</t>
        </is>
      </c>
      <c r="B24" s="15" t="n">
        <v>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3" t="n"/>
      <c r="O24" s="13" t="n"/>
      <c r="P24" s="13" t="n"/>
      <c r="Q24" s="13" t="n"/>
      <c r="R24" s="13" t="n"/>
      <c r="S24" s="13" t="n"/>
      <c r="T24" s="13" t="n"/>
    </row>
    <row r="25" ht="14.25" customHeight="1">
      <c r="A25" s="14" t="inlineStr">
        <is>
          <t>Other Expense 1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3" t="n"/>
      <c r="O25" s="13" t="n"/>
      <c r="P25" s="13" t="n"/>
      <c r="Q25" s="13" t="n"/>
      <c r="R25" s="13" t="n"/>
      <c r="S25" s="13" t="n"/>
      <c r="T25" s="13" t="n"/>
    </row>
    <row r="26" ht="14.25" customHeight="1">
      <c r="A26" s="14" t="inlineStr">
        <is>
          <t>Other Expense 2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3" t="n"/>
      <c r="O26" s="13" t="n"/>
      <c r="P26" s="13" t="n"/>
      <c r="Q26" s="13" t="n"/>
      <c r="R26" s="13" t="n"/>
      <c r="S26" s="13" t="n"/>
      <c r="T26" s="13" t="n"/>
    </row>
    <row r="27" ht="14.25" customHeight="1">
      <c r="A27" s="23" t="inlineStr">
        <is>
          <t>Total Expenses</t>
        </is>
      </c>
      <c r="B27" s="24">
        <f>SUM(B15:B26)</f>
        <v/>
      </c>
      <c r="C27" s="24">
        <f>SUM(C15:C26)</f>
        <v/>
      </c>
      <c r="D27" s="24">
        <f>SUM(D15:D26)</f>
        <v/>
      </c>
      <c r="E27" s="24">
        <f>SUM(E15:E26)</f>
        <v/>
      </c>
      <c r="F27" s="24">
        <f>SUM(F15:F26)</f>
        <v/>
      </c>
      <c r="G27" s="24">
        <f>SUM(G15:G26)</f>
        <v/>
      </c>
      <c r="H27" s="24">
        <f>SUM(H15:H26)</f>
        <v/>
      </c>
      <c r="I27" s="24">
        <f>SUM(I15:I26)</f>
        <v/>
      </c>
      <c r="J27" s="24">
        <f>SUM(J15:J26)</f>
        <v/>
      </c>
      <c r="K27" s="24">
        <f>SUM(K15:K26)</f>
        <v/>
      </c>
      <c r="L27" s="24">
        <f>SUM(L15:L26)</f>
        <v/>
      </c>
      <c r="M27" s="24">
        <f>SUM(M15:M26)</f>
        <v/>
      </c>
      <c r="N27" s="13" t="n"/>
      <c r="O27" s="13" t="n"/>
      <c r="P27" s="13" t="n"/>
      <c r="Q27" s="13" t="n"/>
      <c r="R27" s="13" t="n"/>
      <c r="S27" s="13" t="n"/>
      <c r="T27" s="13" t="n"/>
    </row>
    <row r="28" ht="14.25" customHeight="1">
      <c r="A28" s="16" t="inlineStr">
        <is>
          <t>Earnings Before Interest &amp; Taxes (EBIT)</t>
        </is>
      </c>
      <c r="B28" s="17">
        <f>B11-B27</f>
        <v/>
      </c>
      <c r="C28" s="17">
        <f>C11-C27</f>
        <v/>
      </c>
      <c r="D28" s="17">
        <f>D11-D27</f>
        <v/>
      </c>
      <c r="E28" s="17">
        <f>E11-E27</f>
        <v/>
      </c>
      <c r="F28" s="17">
        <f>F11-F27</f>
        <v/>
      </c>
      <c r="G28" s="17">
        <f>G11-G27</f>
        <v/>
      </c>
      <c r="H28" s="17">
        <f>H11-H27</f>
        <v/>
      </c>
      <c r="I28" s="17">
        <f>I11-I27</f>
        <v/>
      </c>
      <c r="J28" s="17">
        <f>J11-J27</f>
        <v/>
      </c>
      <c r="K28" s="17">
        <f>K11-K27</f>
        <v/>
      </c>
      <c r="L28" s="17">
        <f>L11-L27</f>
        <v/>
      </c>
      <c r="M28" s="17">
        <f>M11-M27</f>
        <v/>
      </c>
      <c r="N28" s="13" t="n"/>
      <c r="O28" s="13" t="n"/>
      <c r="P28" s="13" t="n"/>
      <c r="Q28" s="13" t="n"/>
      <c r="R28" s="13" t="n"/>
      <c r="S28" s="13" t="n"/>
      <c r="T28" s="13" t="n"/>
    </row>
    <row r="29" ht="14.25" customHeight="1">
      <c r="A29" s="20" t="inlineStr">
        <is>
          <t>Ebit margin %</t>
        </is>
      </c>
      <c r="B29" s="25">
        <f>IF(B8=0,"",B28/B8)</f>
        <v/>
      </c>
      <c r="C29" s="25">
        <f>IF(C8=0,"",C28/C8)</f>
        <v/>
      </c>
      <c r="D29" s="25">
        <f>IF(D8=0,"",D28/D8)</f>
        <v/>
      </c>
      <c r="E29" s="25">
        <f>IF(E8=0,"",E28/E8)</f>
        <v/>
      </c>
      <c r="F29" s="25">
        <f>IF(F8=0,"",F28/F8)</f>
        <v/>
      </c>
      <c r="G29" s="25">
        <f>IF(G8=0,"",G28/G8)</f>
        <v/>
      </c>
      <c r="H29" s="25">
        <f>IF(H8=0,"",H28/H8)</f>
        <v/>
      </c>
      <c r="I29" s="25">
        <f>IF(I8=0,"",I28/I8)</f>
        <v/>
      </c>
      <c r="J29" s="25">
        <f>IF(J8=0,"",J28/J8)</f>
        <v/>
      </c>
      <c r="K29" s="25">
        <f>IF(K8=0,"",K28/K8)</f>
        <v/>
      </c>
      <c r="L29" s="25">
        <f>IF(L8=0,"",L28/L8)</f>
        <v/>
      </c>
      <c r="M29" s="25">
        <f>IF(M8=0,"",M28/M8)</f>
        <v/>
      </c>
      <c r="N29" s="26" t="n"/>
      <c r="O29" s="26" t="n"/>
      <c r="P29" s="26" t="n"/>
      <c r="Q29" s="26" t="n"/>
      <c r="R29" s="26" t="n"/>
      <c r="S29" s="26" t="n"/>
      <c r="T29" s="26" t="n"/>
    </row>
    <row r="30" ht="14.25" customHeight="1">
      <c r="A30" s="18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3" t="n"/>
      <c r="O30" s="13" t="n"/>
      <c r="P30" s="13" t="n"/>
      <c r="Q30" s="13" t="n"/>
      <c r="R30" s="13" t="n"/>
      <c r="S30" s="13" t="n"/>
      <c r="T30" s="13" t="n"/>
    </row>
    <row r="31" ht="14.25" customHeight="1">
      <c r="A31" s="14" t="inlineStr">
        <is>
          <t>Loan (Outstanding debt)</t>
        </is>
      </c>
      <c r="B31" s="22" t="n">
        <v>0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13" t="n"/>
      <c r="O31" s="13" t="n"/>
      <c r="P31" s="13" t="n"/>
      <c r="Q31" s="13" t="n"/>
      <c r="R31" s="13" t="n"/>
      <c r="S31" s="13" t="n"/>
      <c r="T31" s="13" t="n"/>
    </row>
    <row r="32" ht="14.25" customHeight="1">
      <c r="A32" s="14" t="inlineStr">
        <is>
          <t>Interest rate (%/Quarter)</t>
        </is>
      </c>
      <c r="B32" s="22" t="n">
        <v>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13" t="n"/>
      <c r="O32" s="13" t="n"/>
      <c r="P32" s="13" t="n"/>
      <c r="Q32" s="13" t="n"/>
      <c r="R32" s="13" t="n"/>
      <c r="S32" s="13" t="n"/>
      <c r="T32" s="13" t="n"/>
    </row>
    <row r="33" ht="14.25" customHeight="1">
      <c r="A33" s="18" t="inlineStr">
        <is>
          <t>Interest Expense</t>
        </is>
      </c>
      <c r="B33" s="27">
        <f>B31*B32</f>
        <v/>
      </c>
      <c r="C33" s="27">
        <f>C31*C32</f>
        <v/>
      </c>
      <c r="D33" s="27">
        <f>D31*D32</f>
        <v/>
      </c>
      <c r="E33" s="27">
        <f>E31*E32</f>
        <v/>
      </c>
      <c r="F33" s="27">
        <f>F31*F32</f>
        <v/>
      </c>
      <c r="G33" s="27">
        <f>G31*G32</f>
        <v/>
      </c>
      <c r="H33" s="27">
        <f>H31*H32</f>
        <v/>
      </c>
      <c r="I33" s="27">
        <f>I31*I32</f>
        <v/>
      </c>
      <c r="J33" s="27">
        <f>J31*J32</f>
        <v/>
      </c>
      <c r="K33" s="27">
        <f>K31*K32</f>
        <v/>
      </c>
      <c r="L33" s="27">
        <f>L31*L32</f>
        <v/>
      </c>
      <c r="M33" s="27">
        <f>M31*M32</f>
        <v/>
      </c>
      <c r="N33" s="28" t="n"/>
      <c r="O33" s="28" t="n"/>
      <c r="P33" s="28" t="n"/>
      <c r="Q33" s="28" t="n"/>
      <c r="R33" s="28" t="n"/>
      <c r="S33" s="28" t="n"/>
      <c r="T33" s="28" t="n"/>
    </row>
    <row r="34" ht="14.25" customHeight="1">
      <c r="A34" s="16" t="inlineStr">
        <is>
          <t>Earnings Before Taxes (EBT)</t>
        </is>
      </c>
      <c r="B34" s="17">
        <f>B28-B33</f>
        <v/>
      </c>
      <c r="C34" s="17">
        <f>C28-C33</f>
        <v/>
      </c>
      <c r="D34" s="17">
        <f>D28-D33</f>
        <v/>
      </c>
      <c r="E34" s="17">
        <f>E28-E33</f>
        <v/>
      </c>
      <c r="F34" s="17">
        <f>F28-F33</f>
        <v/>
      </c>
      <c r="G34" s="17">
        <f>G28-G33</f>
        <v/>
      </c>
      <c r="H34" s="17">
        <f>H28-H33</f>
        <v/>
      </c>
      <c r="I34" s="17">
        <f>I28-I33</f>
        <v/>
      </c>
      <c r="J34" s="17">
        <f>J28-J33</f>
        <v/>
      </c>
      <c r="K34" s="17">
        <f>K28-K33</f>
        <v/>
      </c>
      <c r="L34" s="17">
        <f>L28-L33</f>
        <v/>
      </c>
      <c r="M34" s="17">
        <f>M28-M33</f>
        <v/>
      </c>
      <c r="N34" s="13" t="n"/>
      <c r="O34" s="13" t="n"/>
      <c r="P34" s="13" t="n"/>
      <c r="Q34" s="13" t="n"/>
      <c r="R34" s="13" t="n"/>
      <c r="S34" s="13" t="n"/>
      <c r="T34" s="13" t="n"/>
    </row>
    <row r="35" ht="14.25" customHeight="1">
      <c r="A35" s="29" t="inlineStr">
        <is>
          <t>EBT margin %</t>
        </is>
      </c>
      <c r="B35" s="30">
        <f>IF(B8=0,"",B34/B8)</f>
        <v/>
      </c>
      <c r="C35" s="30">
        <f>IF(C8=0,"",C34/C8)</f>
        <v/>
      </c>
      <c r="D35" s="30">
        <f>IF(D8=0,"",D34/D8)</f>
        <v/>
      </c>
      <c r="E35" s="30">
        <f>IF(E8=0,"",E34/E8)</f>
        <v/>
      </c>
      <c r="F35" s="30">
        <f>IF(F8=0,"",F34/F8)</f>
        <v/>
      </c>
      <c r="G35" s="30">
        <f>IF(G8=0,"",G34/G8)</f>
        <v/>
      </c>
      <c r="H35" s="30">
        <f>IF(H8=0,"",H34/H8)</f>
        <v/>
      </c>
      <c r="I35" s="30">
        <f>IF(I8=0,"",I34/I8)</f>
        <v/>
      </c>
      <c r="J35" s="30">
        <f>IF(J8=0,"",J34/J8)</f>
        <v/>
      </c>
      <c r="K35" s="30">
        <f>IF(K8=0,"",K34/K8)</f>
        <v/>
      </c>
      <c r="L35" s="30">
        <f>IF(L8=0,"",L34/L8)</f>
        <v/>
      </c>
      <c r="M35" s="30">
        <f>IF(M8=0,"",M34/M8)</f>
        <v/>
      </c>
      <c r="N35" s="31" t="n"/>
      <c r="O35" s="31" t="n"/>
      <c r="P35" s="31" t="n"/>
      <c r="Q35" s="31" t="n"/>
      <c r="R35" s="31" t="n"/>
      <c r="S35" s="31" t="n"/>
      <c r="T35" s="31" t="n"/>
    </row>
    <row r="36" ht="14.25" customHeight="1">
      <c r="A36" s="18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3" t="n"/>
      <c r="O36" s="13" t="n"/>
      <c r="P36" s="13" t="n"/>
      <c r="Q36" s="13" t="n"/>
      <c r="R36" s="13" t="n"/>
      <c r="S36" s="13" t="n"/>
      <c r="T36" s="13" t="n"/>
    </row>
    <row r="37" ht="14.25" customHeight="1">
      <c r="A37" s="32" t="inlineStr">
        <is>
          <t>Corporate Taxes (20%)</t>
        </is>
      </c>
      <c r="B37" s="33">
        <f>IF(B34&gt;0,B34*20%,0)</f>
        <v/>
      </c>
      <c r="C37" s="33">
        <f>IF(C34&gt;0,C34*20%,0)</f>
        <v/>
      </c>
      <c r="D37" s="33">
        <f>IF(D34&gt;0,D34*20%,0)</f>
        <v/>
      </c>
      <c r="E37" s="33">
        <f>IF(E34&gt;0,E34*20%,0)</f>
        <v/>
      </c>
      <c r="F37" s="33">
        <f>IF(F34&gt;0,F34*20%,0)</f>
        <v/>
      </c>
      <c r="G37" s="33">
        <f>IF(G34&gt;0,G34*20%,0)</f>
        <v/>
      </c>
      <c r="H37" s="33">
        <f>IF(H34&gt;0,H34*20%,0)</f>
        <v/>
      </c>
      <c r="I37" s="33">
        <f>IF(I34&gt;0,I34*20%,0)</f>
        <v/>
      </c>
      <c r="J37" s="33">
        <f>IF(J34&gt;0,J34*20%,0)</f>
        <v/>
      </c>
      <c r="K37" s="33">
        <f>IF(K34&gt;0,K34*20%,0)</f>
        <v/>
      </c>
      <c r="L37" s="33">
        <f>IF(L34&gt;0,L34*20%,0)</f>
        <v/>
      </c>
      <c r="M37" s="33">
        <f>IF(M34&gt;0,M34*20%,0)</f>
        <v/>
      </c>
      <c r="N37" s="34" t="n"/>
      <c r="O37" s="34" t="n"/>
      <c r="P37" s="34" t="n"/>
      <c r="Q37" s="34" t="n"/>
      <c r="R37" s="34" t="n"/>
      <c r="S37" s="34" t="n"/>
      <c r="T37" s="34" t="n"/>
    </row>
    <row r="38" ht="14.25" customHeight="1">
      <c r="A38" s="35" t="inlineStr">
        <is>
          <t>Net Earnings</t>
        </is>
      </c>
      <c r="B38" s="36">
        <f>+B34-B37</f>
        <v/>
      </c>
      <c r="C38" s="36">
        <f>+C34-C37</f>
        <v/>
      </c>
      <c r="D38" s="36">
        <f>+D34-D37</f>
        <v/>
      </c>
      <c r="E38" s="36">
        <f>+E34-E37</f>
        <v/>
      </c>
      <c r="F38" s="36">
        <f>+F34-F37</f>
        <v/>
      </c>
      <c r="G38" s="36">
        <f>+G34-G37</f>
        <v/>
      </c>
      <c r="H38" s="36">
        <f>+H34-H37</f>
        <v/>
      </c>
      <c r="I38" s="36">
        <f>+I34-I37</f>
        <v/>
      </c>
      <c r="J38" s="36">
        <f>+J34-J37</f>
        <v/>
      </c>
      <c r="K38" s="36">
        <f>+K34-K37</f>
        <v/>
      </c>
      <c r="L38" s="36">
        <f>+L34-L37</f>
        <v/>
      </c>
      <c r="M38" s="36">
        <f>+M34-M37</f>
        <v/>
      </c>
      <c r="N38" s="34" t="n"/>
      <c r="O38" s="34" t="n"/>
      <c r="P38" s="34" t="n"/>
      <c r="Q38" s="34" t="n"/>
      <c r="R38" s="34" t="n"/>
      <c r="S38" s="34" t="n"/>
      <c r="T38" s="34" t="n"/>
    </row>
    <row r="39" ht="14.25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3" t="n"/>
      <c r="O39" s="13" t="n"/>
      <c r="P39" s="13" t="n"/>
      <c r="Q39" s="13" t="n"/>
      <c r="R39" s="13" t="n"/>
      <c r="S39" s="13" t="n"/>
      <c r="T39" s="13" t="n"/>
    </row>
    <row r="40" ht="14.2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</row>
    <row r="41" ht="14.2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</row>
    <row r="42" ht="14.2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</row>
    <row r="43" ht="14.2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</row>
    <row r="44" ht="14.2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 Phan</dc:creator>
  <dcterms:created xmlns:dcterms="http://purl.org/dc/terms/" xmlns:xsi="http://www.w3.org/2001/XMLSchema-instance" xsi:type="dcterms:W3CDTF">2023-06-23T11:14:53Z</dcterms:created>
  <dcterms:modified xmlns:dcterms="http://purl.org/dc/terms/" xmlns:xsi="http://www.w3.org/2001/XMLSchema-instance" xsi:type="dcterms:W3CDTF">2026-10-24T12:30:54Z</dcterms:modified>
  <cp:lastModifiedBy>IIC HITC</cp:lastModifiedBy>
  <cp:lastPrinted>2026-07-01T14:54:03Z</cp:lastPrinted>
</cp:coreProperties>
</file>